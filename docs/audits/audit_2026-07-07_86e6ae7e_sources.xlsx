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udited Sources" sheetId="2" state="visible" r:id="rId4"/>
  </sheets>
  <definedNames>
    <definedName function="false" hidden="true" localSheetId="1" name="_xlnm._FilterDatabase" vbProcedure="false">'Audited Sources'!$A$1:$U$21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<sst xmlns="http://schemas.openxmlformats.org/spreadsheetml/2006/main" count="266" uniqueCount="163">
  <si>
    <t xml:space="preserve">MeatCODE — Source Audit Export</t>
  </si>
  <si>
    <t xml:space="preserve">Information + attached key tags for every source authenticated in this audit run.</t>
  </si>
  <si>
    <t xml:space="preserve">Run ID</t>
  </si>
  <si>
    <t xml:space="preserve">86e6ae7ee43c4edeac4947bcd9985ba6</t>
  </si>
  <si>
    <t xml:space="preserve">Generated (UTC)</t>
  </si>
  <si>
    <t xml:space="preserve">2026-07-07 13:40</t>
  </si>
  <si>
    <t xml:space="preserve">Sources audited</t>
  </si>
  <si>
    <t xml:space="preserve">Dated report</t>
  </si>
  <si>
    <t xml:space="preserve">docs/audits/ (run 86e6ae7e)</t>
  </si>
  <si>
    <t xml:space="preserve">Verdicts</t>
  </si>
  <si>
    <t xml:space="preserve">Keep</t>
  </si>
  <si>
    <t xml:space="preserve">Keep — on-topic, good quality; no action</t>
  </si>
  <si>
    <t xml:space="preserve">Review</t>
  </si>
  <si>
    <t xml:space="preserve">Review — borderline / needs a look</t>
  </si>
  <si>
    <t xml:space="preserve">Quarantine</t>
  </si>
  <si>
    <t xml:space="preserve">Quarantine — off-topic/low quality; confirm before removing</t>
  </si>
  <si>
    <t xml:space="preserve">Column legend</t>
  </si>
  <si>
    <t xml:space="preserve">Attached tags (source_topics)</t>
  </si>
  <si>
    <t xml:space="preserve">Canonical taxonomy tags CURRENTLY attached to the source. "— none (untagged) —" means the row is an untagged legacy source (a back-tagging candidate).</t>
  </si>
  <si>
    <t xml:space="preserve">Suggested tags / issues (judge)</t>
  </si>
  <si>
    <t xml:space="preserve">The audit judge's recommended tags and tagging problems for this source — use these to back-tag untagged rows.</t>
  </si>
  <si>
    <t xml:space="preserve">Audit: tag / relevance / quality</t>
  </si>
  <si>
    <t xml:space="preserve">The judge's 0–100 sub-scores this run. tag=50 usually means "can't assess — no tags stored".</t>
  </si>
  <si>
    <t xml:space="preserve">Relevance (ingest LLM)</t>
  </si>
  <si>
    <t xml:space="preserve">The relevance score assigned at ingest time. Compare with Audit: relevance to see where the audit is stricter than the ingest gate.</t>
  </si>
  <si>
    <t xml:space="preserve">#</t>
  </si>
  <si>
    <t xml:space="preserve">Source ID</t>
  </si>
  <si>
    <t xml:space="preserve">Verdict</t>
  </si>
  <si>
    <t xml:space="preserve">Title</t>
  </si>
  <si>
    <t xml:space="preserve">Year</t>
  </si>
  <si>
    <t xml:space="preserve">Journal / venue</t>
  </si>
  <si>
    <t xml:space="preserve">Review?</t>
  </si>
  <si>
    <t xml:space="preserve">Citations</t>
  </si>
  <si>
    <t xml:space="preserve">DOI</t>
  </si>
  <si>
    <t xml:space="preserve">Authors</t>
  </si>
  <si>
    <t xml:space="preserve">Ingest query</t>
  </si>
  <si>
    <t xml:space="preserve">Priority score</t>
  </si>
  <si>
    <t xml:space="preserve">Audit: tag</t>
  </si>
  <si>
    <t xml:space="preserve">Audit: relevance</t>
  </si>
  <si>
    <t xml:space="preserve">Audit: quality</t>
  </si>
  <si>
    <t xml:space="preserve">Audit priority</t>
  </si>
  <si>
    <t xml:space="preserve">top_keywords</t>
  </si>
  <si>
    <t xml:space="preserve">Judge notes</t>
  </si>
  <si>
    <t xml:space="preserve">quarantine</t>
  </si>
  <si>
    <t xml:space="preserve">Exploring the Role and Functionality of Ingredients in Plant-Based Meat Analogue Burgers: A Comprehensive Review</t>
  </si>
  <si>
    <t xml:space="preserve">2024</t>
  </si>
  <si>
    <t xml:space="preserve">Foods</t>
  </si>
  <si>
    <t xml:space="preserve">Yes</t>
  </si>
  <si>
    <t xml:space="preserve">10.3390/foods13081258</t>
  </si>
  <si>
    <t xml:space="preserve">Gil Vila-Clarà; Anna Vila-Martí; Laia Vergés-Canet; Miriam Torres-Moreno</t>
  </si>
  <si>
    <t xml:space="preserve">plant-protein</t>
  </si>
  <si>
    <t xml:space="preserve">— none (untagged) —</t>
  </si>
  <si>
    <t xml:space="preserve">• No tags stored, but abstract warrants tags on: plant-based meat analogs, texture/mouthfeel engineering, ingredient functionality, clean-label formulation, protein sources (pea, soy, etc.), binders/hydrocolloids, fat mimetics
• Abstract does NOT focus on flavor/aroma generation chemistry (Maillard, Strecker, lipid oxidation, volatiles, GC-MS analytics) — the core KB domain
• Emphasis is on visual/textural/nutritional properties and ingredient roles in food matrix, not meaty process-flavor mechanisms</t>
  </si>
  <si>
    <t xml:space="preserve">Review in peer-reviewed venue (Foods, 2024) with decent citation count, but abstract centers on ingredient functionality &amp; texture engineering for plant-based analogs, NOT on meaty flavor/aroma generation chemistry (Maillard, volatiles, sen</t>
  </si>
  <si>
    <t xml:space="preserve">review</t>
  </si>
  <si>
    <t xml:space="preserve">Strategies to reduce fishy odor in aquatic products: Focusing on formation mechanism and mitigation means</t>
  </si>
  <si>
    <t xml:space="preserve">Food Chemistry</t>
  </si>
  <si>
    <t xml:space="preserve">No</t>
  </si>
  <si>
    <t xml:space="preserve">10.1016/j.foodchem.2024.138625</t>
  </si>
  <si>
    <t xml:space="preserve">Wanting Dai; Shiying He; Linshan Huang; Shufang Lin; Miao Zhang; Chengdeng Chi; Huibin Chen</t>
  </si>
  <si>
    <t xml:space="preserve">off-note</t>
  </si>
  <si>
    <t xml:space="preserve">• No tags stored despite abstract explicitly mentioning: lipid autoxidation, Strecker degradation, trimethylamine oxide degradation, enzymatic reactions
• Abstract is a review (IS_REVIEW=False contradicts content: 'This review aims to provide...')
• Missing obvious tags: lipid oxidation, Strecker degradation, trimethylamine oxide, enzymatic degradation, volatile compounds, sensory analysis</t>
  </si>
  <si>
    <t xml:space="preserve">Aquatic (fish) not meat/meat-analog; lipid oxidation &amp; Strecker present but focus is odor *reduction* not flavor generation mechanism. Review format + Food Chemistry venue are quality signals, but off-domain for meaty-process-flavor KB.</t>
  </si>
  <si>
    <t xml:space="preserve">keep</t>
  </si>
  <si>
    <t xml:space="preserve">Maillard Reaction: Mechanism, Influencing Parameters, Advantages, Disadvantages, and Food Industrial Applications: A Review</t>
  </si>
  <si>
    <t xml:space="preserve">2025</t>
  </si>
  <si>
    <t xml:space="preserve">10.3390/foods14111881</t>
  </si>
  <si>
    <t xml:space="preserve">Leina El Hosry; Vanessa Elias; Vanessa Chamoun; Malda Halawi; Philippe Cayot; Anthony Nehme; Elias Bou-Maroun</t>
  </si>
  <si>
    <t xml:space="preserve">maillard</t>
  </si>
  <si>
    <t xml:space="preserve">• No tags stored despite clear Maillard reaction focus — should include at minimum: 'Maillard reaction', 'amino acids', 'reducing sugars', 'nucleophilic groups', 'pH', 'temperature', 'water activity'
• Abstract mentions 'sensory attributes' and 'flavor' implicitly but no aroma/volatile compound tags present — if this review covers flavor generation mechanisms, should tag 'aroma compounds', 'volatile compounds', or 'flavor precursors'
• No indication whether tags were intentionally omitted or simply missing</t>
  </si>
  <si>
    <t xml:space="preserve">Peer-reviewed review (Foods, 2025, 223 citations) on core Maillard mechanism, parameters, and food applications. Directly relevant to meaty process-flavor generation. No tags stored is a curation gap, not a content problem. High-quality ven</t>
  </si>
  <si>
    <t xml:space="preserve">Evaluation of the aroma and taste contributions of star anise (I. Verum hook. f.) in braised duck leg via flavor omics combined with multivariate statistics</t>
  </si>
  <si>
    <t xml:space="preserve">Food Research International</t>
  </si>
  <si>
    <t xml:space="preserve">10.1016/j.foodres.2024.114209</t>
  </si>
  <si>
    <t xml:space="preserve">Qiang Zhong; Zheng Xing; Fei Teng; Ting Wu; Siyi Pan; Xiaoyun Xu</t>
  </si>
  <si>
    <t xml:space="preserve">meat-aroma</t>
  </si>
  <si>
    <t xml:space="preserve">• No tags stored despite clear relevance to lipid oxidation, OAV analysis, and volatile compound profiling
• Missing obvious tags: 'lipid oxidation', 'OAV/AEDA', 'volatile compounds', 'GC-MS', 'braising/cooking method'
• Missing: 'poultry/meat flavor', 'aldehyde', 'off-flavor inhibition' — all explicitly mentioned in abstract</t>
  </si>
  <si>
    <t xml:space="preserve">Core relevance: lipid oxidation inhibition + OAV quantification in meat braising. Slight tangent: star anise is a spice additive, not intrinsic meat chemistry, but mechanism (volatile suppression) is on-topic. Strong quality: Food Res. Int.</t>
  </si>
  <si>
    <t xml:space="preserve">Influences of thioalcohols on the release of aromas in sesame-flavor baijiu</t>
  </si>
  <si>
    <t xml:space="preserve">10.1016/j.foodres.2024.114733</t>
  </si>
  <si>
    <t xml:space="preserve">Shiqi Yang; Silei Lv; Ling Xu; Fengguo Zhang; Jiwen Zhao; Hehe Li; Jinyuan Sun; Baoguo Sun</t>
  </si>
  <si>
    <t xml:space="preserve">• No tags stored, but abstract clearly warrants tags: missing 'thiol chemistry', 'aroma interactions', 'OAV/AEDA', 'volatile compounds', 'baijiu/fermented spirits', 'sensory descriptors'
• Cannot assess tag correctness without stored tags; score reflects absence rather than error</t>
  </si>
  <si>
    <t xml:space="preserve">Core relevance: thiol-aroma interactions in flavor generation via OAV &amp; σ-τ plots. Peer-reviewed venue (Food Res. Int.), quantified analytics, sensory descriptors. Minor: baijiu is fermented spirit (not meat), but thiol chemistry &amp; aroma re</t>
  </si>
  <si>
    <t xml:space="preserve">Maillard reaction intermediates in Chinese Baijiu and their effects on Maillard reaction related flavor compounds during aging</t>
  </si>
  <si>
    <t xml:space="preserve">Food Chemistry X</t>
  </si>
  <si>
    <t xml:space="preserve">10.1016/j.fochx.2024.101356</t>
  </si>
  <si>
    <t xml:space="preserve">Hao Huang; Yuchen Gao; Lulu Wang; Xiaowei Yu; Shuang Chen; Yan Xu</t>
  </si>
  <si>
    <t xml:space="preserve">• No tags stored despite clear Maillard reaction focus in title and abstract
• Missing obvious tags: 'Maillard reaction', 'heterocyclic compounds', 'aging/maturation', 'Baijiu', 'soy sauce aroma'
• No tags for key analytical/mechanistic content: intermediates, aromatic compound formation, N/S/O-heterocycle chemistry</t>
  </si>
  <si>
    <t xml:space="preserve">Core Maillard mechanism + aroma compound generation in spirit aging; strong venue (Food Chemistry X, 36 cites). Baijiu context is non-meat but process-flavor chemistry is on-brand. Incomplete abstract limits full assessment. Tag absence is </t>
  </si>
  <si>
    <t xml:space="preserve">Faba bean and pea protein ingredients: Endogenous lipid accumulation and lipid oxidative state</t>
  </si>
  <si>
    <t xml:space="preserve">10.1016/j.foodres.2025.116884</t>
  </si>
  <si>
    <t xml:space="preserve">Jolijn S A Koomen; Lucie Ribourg-Birault; Alice Kermarrec; Bérengère Marais; Sophie Le Gall; Adeline Boire; Anne Meynier; Claire Berton-Carabin</t>
  </si>
  <si>
    <t xml:space="preserve">• No tags stored, but abstract clearly warrants tags: 'lipid oxidation' (central theme), 'plant protein' or 'pulse protein', 'off-flavor', 'protein ingredients', 'phospholipids'. Missing obvious mechanistic tags.
• Abstract mentions 'off-flavours' arising from lipid oxidation but does not detail volatile aroma compounds, Maillard reaction, or sensory/GC-MS analytics — core MEATY PROCESS FLAVOR knowledge base scope.</t>
  </si>
  <si>
    <t xml:space="preserve">Lipid oxidation in plant protein ingredients is tangentially relevant to meat-flavor generation (oxidation is a precursor mechanism), but abstract does NOT address aroma compound formation, sensory descriptors, or volatile chemistry. Appear</t>
  </si>
  <si>
    <t xml:space="preserve">Variation of volatile flavor substances in salt-baked chicken during processing</t>
  </si>
  <si>
    <t xml:space="preserve">10.1016/j.fochx.2024.101846</t>
  </si>
  <si>
    <t xml:space="preserve">Hao Jiang; Shaobi Ou; Junjie Ye; Min Qian; Jinpei Wen; Heming Qi; Xiaofang Zeng; Wenhong Zhao; Weidong Bai</t>
  </si>
  <si>
    <t xml:space="preserve">• No tags stored, but abstract clearly warrants tags: should include 'GC-MS', 'volatile compounds', 'sensory analysis', 'OAV', 'cooking/thermal processing', 'meat flavor', 'Maillard reaction' (implied by 'scorched flavor'), 'aldehydes', 'heterocycles'
• Missing obvious analytical method tags (GC-MS, e-nose, OAV are core to the work)</t>
  </si>
  <si>
    <t xml:space="preserve">Core meat-flavor process paper: GC-MS + OAV + sensory on volatile generation during salt-baked chicken cooking. Tracks precursor→aroma across stages. Minor: no explicit Maillard/Strecker mechanism discussion visible in abstract, but 'scorch</t>
  </si>
  <si>
    <t xml:space="preserve">Biopurification using non-growing microorganisms to improve plant protein ingredients</t>
  </si>
  <si>
    <t xml:space="preserve">npj Science of Food</t>
  </si>
  <si>
    <t xml:space="preserve">10.1038/s41538-024-00290-x</t>
  </si>
  <si>
    <t xml:space="preserve">Avis Dwi Wahyu Nugroho; Saskia van Schalkwijk; Sabri Cebeci; Simon Jacobs; Wilma Wesselink; Guido Staring; Soenita Goerdayal; Andrei Prodan; Ann Stijnman; Emma Teuling; Kerensa Broersen; Herwig Bachmann</t>
  </si>
  <si>
    <t xml:space="preserve">• No tags stored, but abstract clearly warrants tags: should include 'plant protein', 'off-flavor removal', 'volatile aldehydes/ketones', 'lactic acid bacteria', 'fermentation', 'flavor chemistry'
• Missing mechanistic tags on the aroma compounds being targeted ('green aldehydes and ketones' are Strecker/lipid oxidation products relevant to the KB scope)
• No tag for the analytical/sensory approach used (not stated in abstract, but absence of tags leaves this uncharacterized)</t>
  </si>
  <si>
    <t xml:space="preserve">Off-topic: focuses on *removal* of off-flavors via microbial bioconversion, not *generation* of meaty/savory flavor from precursors. Plant protein context ≠ meat flavor. No GC-MS/sensory rigor visible in abstract.</t>
  </si>
  <si>
    <t xml:space="preserve">Aroma characterization of Sichuan and Cantonese sausages using electronic nose, gas chromatography–mass spectrometry, gas chromatography-olfactometry, odor activity values and metagenomic</t>
  </si>
  <si>
    <t xml:space="preserve">10.1016/j.fochx.2024.101924</t>
  </si>
  <si>
    <t xml:space="preserve">Xiaohua Chen; Fei Yan; Dong Qu; Tian Wan; Linjie Xi; Ching Yuan Hu</t>
  </si>
  <si>
    <t xml:space="preserve">• No tags stored despite clear relevance to meat-flavor aroma generation
• Abstract explicitly mentions GC-MS, GC-O, OAV — core analytical tags missing
• Fermented meat sausage aroma is a primary topic; should be tagged
• Volatile compound identification and odorant characterization are central; no tags capture this</t>
  </si>
  <si>
    <t xml:space="preserve">Core mechanism paper: fermented sausage aroma via GC-MS/GC-O/OAV. Meat-free comparison is tangential but doesn't disqualify. Strong analytics (98 volatiles, 23 odorants, OAV quantification). Peer-reviewed Food Chemistry X. Minor: metagenomi</t>
  </si>
  <si>
    <t xml:space="preserve">Taste properties and thermal stability during processing of Volvariella volvacea Maillard peptides</t>
  </si>
  <si>
    <t xml:space="preserve">International Journal of Biological Macromolecules</t>
  </si>
  <si>
    <t xml:space="preserve">10.1016/j.ijbiomac.2025.145071</t>
  </si>
  <si>
    <t xml:space="preserve">Yang Yang; Xiaoyu Jiang; Xue Xia; Foxin Zhang; Qiang Zhang; Bertrand Muhoza; Xiaoming Zhang; Shiqing Song</t>
  </si>
  <si>
    <t xml:space="preserve">• No tags stored, but abstract clearly warrants: 'Maillard reaction' (explicit, central), 'umami' (quantified), 'peptides/protein hydrolysates' (alcalase hydrolysis), 'electronic tongue' (analytical method), 'browning/color' (observed outcome)
• Missing obvious flavor-chemistry tags despite strong relevance</t>
  </si>
  <si>
    <t xml:space="preserve">Core Maillard + taste/umami in mushroom peptides; peer-reviewed venue &amp; electronic tongue data. BUT: mushroom (not meat/meat-analog), no GC-MS/GC-O volatiles, no sensory panel, taste-response focus rather than aroma-compound mechanism. Bord</t>
  </si>
  <si>
    <t xml:space="preserve">An integrated metabolomics-flavoromics analysis reveals flavor diversity in indigenous and hybrid cattle via UHPLC-MS/MS and GC×GC-TOF-MS</t>
  </si>
  <si>
    <t xml:space="preserve">10.1016/j.fochx.2025.102801</t>
  </si>
  <si>
    <t xml:space="preserve">Yuanfeng Zhao; Jingrui Zhou; Wenju Luo; Lingling Jiang; Fuzhan Song; Jiang Ran; Haoxiang Xu; Lu Lei; Rong Ai; Bo Yu</t>
  </si>
  <si>
    <t xml:space="preserve">• No tags stored despite clear presence of GC×GC-TOF-MS (volatile analysis)
• Missing: GC-MS/GC×GC (core analytical method explicitly used)
• Missing: VOC/volatile compounds (central to abstract)
• Missing: breed/genetic differences (primary variable)
• Missing: metabolomics (stated in title and methods)
• Possible missing: Maillard/aroma precursors (beta-alanine, histidine, purine metabolism suggest precursor pathways)</t>
  </si>
  <si>
    <t xml:space="preserve">Solid analytical rigor (UHPLC-MS/MS, GC×GC-TOF-MS, metabolomics) and peer-reviewed venue (Food Chemistry X). BUT: abstract emphasizes breed-genetic differences in flavor composition, NOT process-flavor generation (precursor→reaction→aroma).</t>
  </si>
  <si>
    <t xml:space="preserve">Flavor of extruded meat analogs: A review on composition, influencing factors, and analytical techniques</t>
  </si>
  <si>
    <t xml:space="preserve">Current Research in Food Science</t>
  </si>
  <si>
    <t xml:space="preserve">10.1016/j.crfs.2024.100747</t>
  </si>
  <si>
    <t xml:space="preserve">Wanrong Jiang; Xiaoyu Yang; Liang Li</t>
  </si>
  <si>
    <t xml:space="preserve">• No tags stored despite clear relevance to Maillard reaction, Strecker degradation, lipid oxidation, and volatile aroma compounds in meat analog processing
• Missing obvious tags: 'high moisture extrusion', 'meat analogs', 'flavor precursors', 'flavor-active compounds', 'volatile aroma'
• Missing analytical tags: abstract mentions composition analysis but no GC-MS, GC-O, or sensory panel tags evident
• No tags for reaction chemistry mechanisms (Maillard, Strecker, lipid oxidation) despite being core to meaty flavor generation</t>
  </si>
  <si>
    <t xml:space="preserve">2024 peer-reviewed review on meat analog flavor composition &amp; precursors via extrusion—directly on-topic for process-flavor generation. 79 flavor compounds identified. Minor: abstract truncated, no explicit GC-MS/sensory detail visible, but</t>
  </si>
  <si>
    <t xml:space="preserve">Characterization of Volatilized Compounds in Conventional and Organic Vegetable-Source Alternative Meat-Curing Ingredients</t>
  </si>
  <si>
    <t xml:space="preserve">Molecules</t>
  </si>
  <si>
    <t xml:space="preserve">10.3390/molecules30040835</t>
  </si>
  <si>
    <t xml:space="preserve">Siyuan Sheng; Erin M. Silva; Steven C. Ricke; James R. Claus</t>
  </si>
  <si>
    <t xml:space="preserve">• No tags stored, but abstract clearly warrants tags: should include 'volatile compounds', 'GC-MS', 'cured meat', 'alternative meat ingredients', 'celery juice', 'Swiss chard', and possibly 'aroma precursors' or 'flavor compounds'
• Missing obvious analytical method tag: GC-MS/MS is explicitly the core method
• Missing ingredient tags: celery and Swiss chard are the primary subjects</t>
  </si>
  <si>
    <t xml:space="preserve">Relevant to meat-curing flavor via alternative ingredients &amp; volatile profiling (GC-MS/MS rigor evident). BUT: abstract does NOT explain reaction chemistry (Maillard, Strecker, lipid oxidation) or precursor→aroma mechanism—only identifies v</t>
  </si>
  <si>
    <t xml:space="preserve">Effect of Boiling Time on the Color, Water, Protein Secondary Structure, and Volatile Compounds of Beef</t>
  </si>
  <si>
    <t xml:space="preserve">10.3390/foods14081372</t>
  </si>
  <si>
    <t xml:space="preserve">Liqin You; Yanfeng Zhang; Yingjuan Ma; Yongrui Wang; Zhaojun Wei</t>
  </si>
  <si>
    <t xml:space="preserve">• No tags stored, but abstract clearly warrants tags: should include 'volatile compounds', 'GC-MS', 'boiling', 'beef', 'protein denaturation/secondary structure', and possibly 'aroma precursors' or 'thermal processing'
• Abstract mentions 'volatile compounds' as a primary outcome but no analytical or flavor-chemistry tags are present</t>
  </si>
  <si>
    <t xml:space="preserve">Core relevance: boiling-induced volatile compound generation in beef (GC-MS confirmed). Strength: quantified volatiles, peer-reviewed venue (Foods, MDPI). Weakness: abstract truncated, no mention of sensory panel, OAV/AEDA, or mechanistic l</t>
  </si>
  <si>
    <t xml:space="preserve">Hemp-Based Meat Analogs: An Updated Review on Extraction Technologies, Nutritional Excellence, Functional Innovation, and Sustainable Processing Technologies</t>
  </si>
  <si>
    <t xml:space="preserve">10.3390/foods14162835</t>
  </si>
  <si>
    <t xml:space="preserve">Hassan Barakat; Thamer Aljutaily</t>
  </si>
  <si>
    <t xml:space="preserve">• No tags stored, but abstract warrants tagging: should include 'plant-based protein', 'meat analog', 'protein extraction', 'hemp', 'nutritional profile'
• Abstract mentions 'bioactive peptides' and functional properties but does NOT focus on aroma/flavor generation chemistry (Maillard, Strecker, volatiles, GC-MS)
• No evidence of flavor/aroma mechanism discussion in provided text</t>
  </si>
  <si>
    <t xml:space="preserve">Review on hemp meat analogs, but focuses on nutrition/extraction/sustainability, NOT meaty flavor generation mechanisms (Maillard, aroma precursors, volatiles). Off-topic for flavor KB.</t>
  </si>
  <si>
    <t xml:space="preserve">Rapid Acidification and Off-Flavor Reduction of Pea Protein by Fermentation with Lactic Acid Bacteria and Yeasts</t>
  </si>
  <si>
    <t xml:space="preserve">10.3390/foods13040588</t>
  </si>
  <si>
    <t xml:space="preserve">Dor Zipori; Jana Hollmann; Marina Rigling; Yanyan Zhang; Agnes Weiss; Herbert Schmidt</t>
  </si>
  <si>
    <t xml:space="preserve">• No tags stored, but abstract clearly warrants tags: should include 'off-flavor reduction', 'hexanal', 'fermentation', 'plant-based protein', 'volatile compounds', and possibly 'aroma/flavor generation' if the mechanism involves Strecker degradation or lipid oxidation during fermentation</t>
  </si>
  <si>
    <t xml:space="preserve">Addresses off-flavor (hexanal) reduction in pea protein via fermentation, but focus is microbiology/fermentation process, not meat-flavor generation chemistry. Tangential to core KB scope (Maillard, Strecker, lipid oxidation mechanisms). Pe</t>
  </si>
  <si>
    <t xml:space="preserve">Role of lipids in beef flavor development: A review of research from the past 20 years</t>
  </si>
  <si>
    <t xml:space="preserve">10.1016/j.foodchem.2025.143310</t>
  </si>
  <si>
    <t xml:space="preserve">Seonmin Lee; Kyung Jo; Min Kyung Park; Yun-Sang Choi; Samooel Jung</t>
  </si>
  <si>
    <t xml:space="preserve">• No tags stored despite clear relevance to lipid oxidation, Maillard/Strecker (pyrazines, dimethyl sulfides), and volatile aroma compound generation
• Missing obvious tags: 'lipid oxidation', 'volatile organic compounds', 'aldehydes', 'pyrazines', 'beef flavor', 'intramuscular fat', 'fatty acids'
• A review on beef flavor VOCs should have at least 5–8 mechanistic tags; zero tags suggests incomplete curation</t>
  </si>
  <si>
    <t xml:space="preserve">Core mechanism paper: lipid → VOC (aldehydes, pyrazines, sulfur compounds) in beef. Peer-reviewed Food Chemistry review, 50 citations, 20-year scope. Minor: no explicit GC-MS/OAV detail in abstract, but review format + venue + citation coun</t>
  </si>
  <si>
    <t xml:space="preserve">Shrimp lipids improve flavor by regulating characteristic aroma compounds in hot air-dried shrimp</t>
  </si>
  <si>
    <t xml:space="preserve">10.1016/j.foodchem.2024.142065</t>
  </si>
  <si>
    <t xml:space="preserve">Xiaoshan Zheng; Hongwu Ji; Shucheng Liu; Wenzheng Shi; Ying Lu</t>
  </si>
  <si>
    <t xml:space="preserve">• No tags stored despite clear relevance to lipid oxidation, Maillard reaction, and volatile aroma compound generation
• Missing obvious tags: 'lipid oxidation', 'Maillard reaction', 'pyrazines', 'thermal degradation', 'trimethylamine', 'aldehydes', 'ketones', 'furans'
• Missing process tag: 'hot air drying' or 'thermal processing'
• Missing analytical/method tag: likely GC-MS or similar (not stated in abstract but standard for volatile profiling)</t>
  </si>
  <si>
    <t xml:space="preserve">Core mechanism paper: lipid precursors → thermal degradation → Maillard intermediates → aroma volatiles (pyrazines, aldehydes, ketones, furans). Quantified inhibition of off-flavor (TMA). Food Chemistry venue, 2024, 11 citations. Minor: shr</t>
  </si>
  <si>
    <t xml:space="preserve">Improving common vetch protein isolate flavor through glutaminase-mediated deamidation</t>
  </si>
  <si>
    <t xml:space="preserve">10.1016/j.foodres.2024.114995</t>
  </si>
  <si>
    <t xml:space="preserve">Chen Wang; Yongqiang Cheng; Ning Tang</t>
  </si>
  <si>
    <t xml:space="preserve">• No tags stored, but abstract clearly warrants tags: should include 'volatile compounds', 'GC-MS', 'off-flavor removal', 'protein modification', 'enzymatic treatment', and possibly 'plant protein' or 'legume flavor'
• Missing tag for 'hexanal' and 'pentylfuran' (specific volatile markers identified)
• Missing tag for 'beany flavor' (the target off-flavor being addressed)</t>
  </si>
  <si>
    <t xml:space="preserve">Relevant to flavor generation/modification via enzyme-mediated chemistry (deamidation), GC-MS + PCA rigor visible. BUT: focus is off-flavor *removal* in plant protein, not *generation* of meaty/savory aroma from precursors. Tangential to 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</si>
</sst>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B1E2E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6B1E2E"/>
      <name val="Arial"/>
      <family val="0"/>
      <charset val="1"/>
    </font>
    <font>
      <b val="true"/>
      <sz val="11"/>
      <color rgb="FF1E6B34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color rgb="FF7A5B00"/>
      <name val="Arial"/>
      <family val="0"/>
      <charset val="1"/>
    </font>
    <font>
      <b val="true"/>
      <sz val="11"/>
      <color rgb="FF9C1B2E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6B1E2E"/>
        <bgColor rgb="FF9C1B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6B1E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7A5B00"/>
          <bgColor rgb="FF000000"/>
        </patternFill>
      </fill>
    </dxf>
    <dxf>
      <fill>
        <patternFill patternType="solid">
          <fgColor rgb="FF9C1B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B1E2E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C1B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7" min="4" style="0" width="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n">
        <v>20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10" customFormat="false" ht="15" hidden="false" customHeight="false" outlineLevel="0" collapsed="false">
      <c r="B10" s="5" t="s">
        <v>9</v>
      </c>
    </row>
    <row r="11" customFormat="false" ht="15" hidden="false" customHeight="false" outlineLevel="0" collapsed="false">
      <c r="B11" s="6" t="s">
        <v>10</v>
      </c>
      <c r="C11" s="3" t="n">
        <f aca="false">COUNTIF('Audited Sources'!C2:C21,"keep")</f>
        <v>8</v>
      </c>
      <c r="D11" s="7" t="s">
        <v>11</v>
      </c>
    </row>
    <row r="12" customFormat="false" ht="15" hidden="false" customHeight="false" outlineLevel="0" collapsed="false">
      <c r="B12" s="8" t="s">
        <v>12</v>
      </c>
      <c r="C12" s="3" t="n">
        <f aca="false">COUNTIF('Audited Sources'!C2:C21,"review")</f>
        <v>9</v>
      </c>
      <c r="D12" s="7" t="s">
        <v>13</v>
      </c>
    </row>
    <row r="13" customFormat="false" ht="15" hidden="false" customHeight="false" outlineLevel="0" collapsed="false">
      <c r="B13" s="9" t="s">
        <v>14</v>
      </c>
      <c r="C13" s="3" t="n">
        <f aca="false">COUNTIF('Audited Sources'!C2:C21,"quarantine")</f>
        <v>3</v>
      </c>
      <c r="D13" s="7" t="s">
        <v>15</v>
      </c>
    </row>
    <row r="15" customFormat="false" ht="15" hidden="false" customHeight="false" outlineLevel="0" collapsed="false">
      <c r="B15" s="5" t="s">
        <v>16</v>
      </c>
    </row>
    <row r="16" customFormat="false" ht="42" hidden="false" customHeight="true" outlineLevel="0" collapsed="false">
      <c r="B16" s="10" t="s">
        <v>17</v>
      </c>
      <c r="C16" s="11" t="s">
        <v>18</v>
      </c>
      <c r="D16" s="11"/>
      <c r="E16" s="11"/>
      <c r="F16" s="11"/>
      <c r="G16" s="11"/>
    </row>
    <row r="17" customFormat="false" ht="42" hidden="false" customHeight="true" outlineLevel="0" collapsed="false">
      <c r="B17" s="10" t="s">
        <v>19</v>
      </c>
      <c r="C17" s="11" t="s">
        <v>20</v>
      </c>
      <c r="D17" s="11"/>
      <c r="E17" s="11"/>
      <c r="F17" s="11"/>
      <c r="G17" s="11"/>
    </row>
    <row r="18" customFormat="false" ht="42" hidden="false" customHeight="true" outlineLevel="0" collapsed="false">
      <c r="B18" s="10" t="s">
        <v>21</v>
      </c>
      <c r="C18" s="11" t="s">
        <v>22</v>
      </c>
      <c r="D18" s="11"/>
      <c r="E18" s="11"/>
      <c r="F18" s="11"/>
      <c r="G18" s="11"/>
    </row>
    <row r="19" customFormat="false" ht="42" hidden="false" customHeight="true" outlineLevel="0" collapsed="false">
      <c r="B19" s="10" t="s">
        <v>23</v>
      </c>
      <c r="C19" s="11" t="s">
        <v>24</v>
      </c>
      <c r="D19" s="11"/>
      <c r="E19" s="11"/>
      <c r="F19" s="11"/>
      <c r="G19" s="11"/>
    </row>
  </sheetData>
  <mergeCells count="4">
    <mergeCell ref="C16:G16"/>
    <mergeCell ref="C17:G17"/>
    <mergeCell ref="C18:G18"/>
    <mergeCell ref="C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30"/>
    <col collapsed="false" customWidth="true" hidden="false" outlineLevel="0" max="19" min="19" style="0" width="24"/>
    <col collapsed="false" customWidth="true" hidden="false" outlineLevel="0" max="20" min="20" style="0" width="62"/>
    <col collapsed="false" customWidth="true" hidden="false" outlineLevel="0" max="21" min="21" style="0" width="60"/>
  </cols>
  <sheetData>
    <row r="1" customFormat="false" ht="33.75" hidden="false" customHeight="true" outlineLevel="0" collapsed="false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23</v>
      </c>
      <c r="N1" s="12" t="s">
        <v>37</v>
      </c>
      <c r="O1" s="12" t="s">
        <v>38</v>
      </c>
      <c r="P1" s="12" t="s">
        <v>39</v>
      </c>
      <c r="Q1" s="12" t="s">
        <v>40</v>
      </c>
      <c r="R1" s="12" t="s">
        <v>17</v>
      </c>
      <c r="S1" s="12" t="s">
        <v>41</v>
      </c>
      <c r="T1" s="12" t="s">
        <v>19</v>
      </c>
      <c r="U1" s="12" t="s">
        <v>42</v>
      </c>
    </row>
    <row r="2" customFormat="false" ht="147" hidden="false" customHeight="true" outlineLevel="0" collapsed="false">
      <c r="A2" s="13" t="n">
        <v>1</v>
      </c>
      <c r="B2" s="13" t="n">
        <v>380</v>
      </c>
      <c r="C2" s="14" t="s">
        <v>43</v>
      </c>
      <c r="D2" s="15" t="s">
        <v>44</v>
      </c>
      <c r="E2" s="13" t="s">
        <v>45</v>
      </c>
      <c r="F2" s="15" t="s">
        <v>46</v>
      </c>
      <c r="G2" s="13" t="s">
        <v>47</v>
      </c>
      <c r="H2" s="13" t="n">
        <v>36</v>
      </c>
      <c r="I2" s="15" t="s">
        <v>48</v>
      </c>
      <c r="J2" s="15" t="s">
        <v>49</v>
      </c>
      <c r="K2" s="13" t="s">
        <v>50</v>
      </c>
      <c r="L2" s="16" t="n">
        <v>73.2</v>
      </c>
      <c r="M2" s="13" t="n">
        <v>62</v>
      </c>
      <c r="N2" s="13" t="n">
        <v>50</v>
      </c>
      <c r="O2" s="13" t="n">
        <v>35</v>
      </c>
      <c r="P2" s="13" t="n">
        <v>72</v>
      </c>
      <c r="Q2" s="16" t="n">
        <v>80.05</v>
      </c>
      <c r="R2" s="15" t="s">
        <v>51</v>
      </c>
      <c r="S2" s="15"/>
      <c r="T2" s="15" t="s">
        <v>52</v>
      </c>
      <c r="U2" s="15" t="s">
        <v>53</v>
      </c>
    </row>
    <row r="3" customFormat="false" ht="117" hidden="false" customHeight="true" outlineLevel="0" collapsed="false">
      <c r="A3" s="13" t="n">
        <v>2</v>
      </c>
      <c r="B3" s="13" t="n">
        <v>239</v>
      </c>
      <c r="C3" s="17" t="s">
        <v>54</v>
      </c>
      <c r="D3" s="15" t="s">
        <v>55</v>
      </c>
      <c r="E3" s="13" t="s">
        <v>45</v>
      </c>
      <c r="F3" s="15" t="s">
        <v>56</v>
      </c>
      <c r="G3" s="13" t="s">
        <v>57</v>
      </c>
      <c r="H3" s="13" t="n">
        <v>49</v>
      </c>
      <c r="I3" s="15" t="s">
        <v>58</v>
      </c>
      <c r="J3" s="15" t="s">
        <v>59</v>
      </c>
      <c r="K3" s="13" t="s">
        <v>60</v>
      </c>
      <c r="L3" s="16" t="n">
        <v>73.2</v>
      </c>
      <c r="M3" s="13" t="n">
        <v>72</v>
      </c>
      <c r="N3" s="13" t="n">
        <v>50</v>
      </c>
      <c r="O3" s="13" t="n">
        <v>45</v>
      </c>
      <c r="P3" s="13" t="n">
        <v>62</v>
      </c>
      <c r="Q3" s="16" t="n">
        <v>76.75</v>
      </c>
      <c r="R3" s="15" t="s">
        <v>51</v>
      </c>
      <c r="S3" s="15"/>
      <c r="T3" s="15" t="s">
        <v>61</v>
      </c>
      <c r="U3" s="15" t="s">
        <v>62</v>
      </c>
    </row>
    <row r="4" customFormat="false" ht="147" hidden="false" customHeight="true" outlineLevel="0" collapsed="false">
      <c r="A4" s="13" t="n">
        <v>3</v>
      </c>
      <c r="B4" s="13" t="n">
        <v>74</v>
      </c>
      <c r="C4" s="18" t="s">
        <v>63</v>
      </c>
      <c r="D4" s="15" t="s">
        <v>64</v>
      </c>
      <c r="E4" s="13" t="s">
        <v>65</v>
      </c>
      <c r="F4" s="15" t="s">
        <v>46</v>
      </c>
      <c r="G4" s="13" t="s">
        <v>47</v>
      </c>
      <c r="H4" s="13" t="n">
        <v>223</v>
      </c>
      <c r="I4" s="15" t="s">
        <v>66</v>
      </c>
      <c r="J4" s="15" t="s">
        <v>67</v>
      </c>
      <c r="K4" s="13" t="s">
        <v>68</v>
      </c>
      <c r="L4" s="16" t="n">
        <v>87</v>
      </c>
      <c r="M4" s="13" t="n">
        <v>85</v>
      </c>
      <c r="N4" s="13" t="n">
        <v>50</v>
      </c>
      <c r="O4" s="13" t="n">
        <v>78</v>
      </c>
      <c r="P4" s="13" t="n">
        <v>82</v>
      </c>
      <c r="Q4" s="16" t="n">
        <v>76.46</v>
      </c>
      <c r="R4" s="15" t="s">
        <v>51</v>
      </c>
      <c r="S4" s="15"/>
      <c r="T4" s="15" t="s">
        <v>69</v>
      </c>
      <c r="U4" s="15" t="s">
        <v>70</v>
      </c>
    </row>
    <row r="5" customFormat="false" ht="102" hidden="false" customHeight="true" outlineLevel="0" collapsed="false">
      <c r="A5" s="13" t="n">
        <v>4</v>
      </c>
      <c r="B5" s="13" t="n">
        <v>207</v>
      </c>
      <c r="C5" s="18" t="s">
        <v>63</v>
      </c>
      <c r="D5" s="15" t="s">
        <v>71</v>
      </c>
      <c r="E5" s="13" t="s">
        <v>45</v>
      </c>
      <c r="F5" s="15" t="s">
        <v>72</v>
      </c>
      <c r="G5" s="13" t="s">
        <v>57</v>
      </c>
      <c r="H5" s="13" t="n">
        <v>36</v>
      </c>
      <c r="I5" s="15" t="s">
        <v>73</v>
      </c>
      <c r="J5" s="15" t="s">
        <v>74</v>
      </c>
      <c r="K5" s="13" t="s">
        <v>75</v>
      </c>
      <c r="L5" s="16" t="n">
        <v>73.2</v>
      </c>
      <c r="M5" s="13" t="n">
        <v>72</v>
      </c>
      <c r="N5" s="13" t="n">
        <v>50</v>
      </c>
      <c r="O5" s="13" t="n">
        <v>72</v>
      </c>
      <c r="P5" s="13" t="n">
        <v>78</v>
      </c>
      <c r="Q5" s="16" t="n">
        <v>76.3</v>
      </c>
      <c r="R5" s="15" t="s">
        <v>51</v>
      </c>
      <c r="S5" s="15"/>
      <c r="T5" s="15" t="s">
        <v>76</v>
      </c>
      <c r="U5" s="15" t="s">
        <v>77</v>
      </c>
    </row>
    <row r="6" customFormat="false" ht="87" hidden="false" customHeight="true" outlineLevel="0" collapsed="false">
      <c r="A6" s="13" t="n">
        <v>5</v>
      </c>
      <c r="B6" s="13" t="n">
        <v>248</v>
      </c>
      <c r="C6" s="18" t="s">
        <v>63</v>
      </c>
      <c r="D6" s="15" t="s">
        <v>78</v>
      </c>
      <c r="E6" s="13" t="s">
        <v>45</v>
      </c>
      <c r="F6" s="15" t="s">
        <v>72</v>
      </c>
      <c r="G6" s="13" t="s">
        <v>57</v>
      </c>
      <c r="H6" s="13" t="n">
        <v>15</v>
      </c>
      <c r="I6" s="15" t="s">
        <v>79</v>
      </c>
      <c r="J6" s="15" t="s">
        <v>80</v>
      </c>
      <c r="K6" s="13" t="s">
        <v>60</v>
      </c>
      <c r="L6" s="16" t="n">
        <v>73.2</v>
      </c>
      <c r="M6" s="13" t="n">
        <v>72</v>
      </c>
      <c r="N6" s="13" t="n">
        <v>50</v>
      </c>
      <c r="O6" s="13" t="n">
        <v>72</v>
      </c>
      <c r="P6" s="13" t="n">
        <v>78</v>
      </c>
      <c r="Q6" s="16" t="n">
        <v>75.03</v>
      </c>
      <c r="R6" s="15" t="s">
        <v>51</v>
      </c>
      <c r="S6" s="15"/>
      <c r="T6" s="15" t="s">
        <v>81</v>
      </c>
      <c r="U6" s="15" t="s">
        <v>82</v>
      </c>
    </row>
    <row r="7" customFormat="false" ht="102" hidden="false" customHeight="true" outlineLevel="0" collapsed="false">
      <c r="A7" s="13" t="n">
        <v>6</v>
      </c>
      <c r="B7" s="13" t="n">
        <v>104</v>
      </c>
      <c r="C7" s="17" t="s">
        <v>54</v>
      </c>
      <c r="D7" s="15" t="s">
        <v>83</v>
      </c>
      <c r="E7" s="13" t="s">
        <v>45</v>
      </c>
      <c r="F7" s="15" t="s">
        <v>84</v>
      </c>
      <c r="G7" s="13" t="s">
        <v>57</v>
      </c>
      <c r="H7" s="13" t="n">
        <v>36</v>
      </c>
      <c r="I7" s="15" t="s">
        <v>85</v>
      </c>
      <c r="J7" s="15" t="s">
        <v>86</v>
      </c>
      <c r="K7" s="13" t="s">
        <v>68</v>
      </c>
      <c r="L7" s="16" t="n">
        <v>76.8</v>
      </c>
      <c r="M7" s="13" t="n">
        <v>78</v>
      </c>
      <c r="N7" s="13" t="n">
        <v>50</v>
      </c>
      <c r="O7" s="13" t="n">
        <v>78</v>
      </c>
      <c r="P7" s="13" t="n">
        <v>72</v>
      </c>
      <c r="Q7" s="16" t="n">
        <v>74.37</v>
      </c>
      <c r="R7" s="15" t="s">
        <v>51</v>
      </c>
      <c r="S7" s="15"/>
      <c r="T7" s="15" t="s">
        <v>87</v>
      </c>
      <c r="U7" s="15" t="s">
        <v>88</v>
      </c>
    </row>
    <row r="8" customFormat="false" ht="117" hidden="false" customHeight="true" outlineLevel="0" collapsed="false">
      <c r="A8" s="13" t="n">
        <v>7</v>
      </c>
      <c r="B8" s="13" t="n">
        <v>355</v>
      </c>
      <c r="C8" s="17" t="s">
        <v>54</v>
      </c>
      <c r="D8" s="15" t="s">
        <v>89</v>
      </c>
      <c r="E8" s="13" t="s">
        <v>65</v>
      </c>
      <c r="F8" s="15" t="s">
        <v>72</v>
      </c>
      <c r="G8" s="13" t="s">
        <v>57</v>
      </c>
      <c r="H8" s="13" t="n">
        <v>9</v>
      </c>
      <c r="I8" s="15" t="s">
        <v>90</v>
      </c>
      <c r="J8" s="15" t="s">
        <v>91</v>
      </c>
      <c r="K8" s="13" t="s">
        <v>50</v>
      </c>
      <c r="L8" s="16" t="n">
        <v>73.2</v>
      </c>
      <c r="M8" s="13" t="n">
        <v>72</v>
      </c>
      <c r="N8" s="13" t="n">
        <v>50</v>
      </c>
      <c r="O8" s="13" t="n">
        <v>52</v>
      </c>
      <c r="P8" s="13" t="n">
        <v>72</v>
      </c>
      <c r="Q8" s="16" t="n">
        <v>74.32</v>
      </c>
      <c r="R8" s="15" t="s">
        <v>51</v>
      </c>
      <c r="S8" s="15"/>
      <c r="T8" s="15" t="s">
        <v>92</v>
      </c>
      <c r="U8" s="15" t="s">
        <v>93</v>
      </c>
    </row>
    <row r="9" customFormat="false" ht="102" hidden="false" customHeight="true" outlineLevel="0" collapsed="false">
      <c r="A9" s="13" t="n">
        <v>8</v>
      </c>
      <c r="B9" s="13" t="n">
        <v>228</v>
      </c>
      <c r="C9" s="18" t="s">
        <v>63</v>
      </c>
      <c r="D9" s="15" t="s">
        <v>94</v>
      </c>
      <c r="E9" s="13" t="s">
        <v>45</v>
      </c>
      <c r="F9" s="15" t="s">
        <v>84</v>
      </c>
      <c r="G9" s="13" t="s">
        <v>57</v>
      </c>
      <c r="H9" s="13" t="n">
        <v>16</v>
      </c>
      <c r="I9" s="15" t="s">
        <v>95</v>
      </c>
      <c r="J9" s="15" t="s">
        <v>96</v>
      </c>
      <c r="K9" s="13" t="s">
        <v>75</v>
      </c>
      <c r="L9" s="16" t="n">
        <v>75</v>
      </c>
      <c r="M9" s="13" t="n">
        <v>75</v>
      </c>
      <c r="N9" s="13" t="n">
        <v>50</v>
      </c>
      <c r="O9" s="13" t="n">
        <v>78</v>
      </c>
      <c r="P9" s="13" t="n">
        <v>82</v>
      </c>
      <c r="Q9" s="16" t="n">
        <v>74.18</v>
      </c>
      <c r="R9" s="15" t="s">
        <v>51</v>
      </c>
      <c r="S9" s="15"/>
      <c r="T9" s="15" t="s">
        <v>97</v>
      </c>
      <c r="U9" s="15" t="s">
        <v>98</v>
      </c>
    </row>
    <row r="10" customFormat="false" ht="147" hidden="false" customHeight="true" outlineLevel="0" collapsed="false">
      <c r="A10" s="13" t="n">
        <v>9</v>
      </c>
      <c r="B10" s="13" t="n">
        <v>341</v>
      </c>
      <c r="C10" s="14" t="s">
        <v>43</v>
      </c>
      <c r="D10" s="15" t="s">
        <v>99</v>
      </c>
      <c r="E10" s="13" t="s">
        <v>45</v>
      </c>
      <c r="F10" s="15" t="s">
        <v>100</v>
      </c>
      <c r="G10" s="13" t="s">
        <v>57</v>
      </c>
      <c r="H10" s="13" t="n">
        <v>15</v>
      </c>
      <c r="I10" s="15" t="s">
        <v>101</v>
      </c>
      <c r="J10" s="15" t="s">
        <v>102</v>
      </c>
      <c r="K10" s="13" t="s">
        <v>50</v>
      </c>
      <c r="L10" s="16" t="n">
        <v>75</v>
      </c>
      <c r="M10" s="13" t="n">
        <v>75</v>
      </c>
      <c r="N10" s="13" t="n">
        <v>50</v>
      </c>
      <c r="O10" s="13" t="n">
        <v>35</v>
      </c>
      <c r="P10" s="13" t="n">
        <v>62</v>
      </c>
      <c r="Q10" s="16" t="n">
        <v>74.09</v>
      </c>
      <c r="R10" s="15" t="s">
        <v>51</v>
      </c>
      <c r="S10" s="15"/>
      <c r="T10" s="15" t="s">
        <v>103</v>
      </c>
      <c r="U10" s="15" t="s">
        <v>104</v>
      </c>
    </row>
    <row r="11" customFormat="false" ht="102" hidden="false" customHeight="true" outlineLevel="0" collapsed="false">
      <c r="A11" s="13" t="n">
        <v>10</v>
      </c>
      <c r="B11" s="13" t="n">
        <v>166</v>
      </c>
      <c r="C11" s="18" t="s">
        <v>63</v>
      </c>
      <c r="D11" s="15" t="s">
        <v>105</v>
      </c>
      <c r="E11" s="13" t="s">
        <v>45</v>
      </c>
      <c r="F11" s="15" t="s">
        <v>84</v>
      </c>
      <c r="G11" s="13" t="s">
        <v>57</v>
      </c>
      <c r="H11" s="13" t="n">
        <v>14</v>
      </c>
      <c r="I11" s="15" t="s">
        <v>106</v>
      </c>
      <c r="J11" s="15" t="s">
        <v>107</v>
      </c>
      <c r="K11" s="13" t="s">
        <v>75</v>
      </c>
      <c r="L11" s="16" t="n">
        <v>75</v>
      </c>
      <c r="M11" s="13" t="n">
        <v>75</v>
      </c>
      <c r="N11" s="13" t="n">
        <v>50</v>
      </c>
      <c r="O11" s="13" t="n">
        <v>72</v>
      </c>
      <c r="P11" s="13" t="n">
        <v>78</v>
      </c>
      <c r="Q11" s="16" t="n">
        <v>73.99</v>
      </c>
      <c r="R11" s="15" t="s">
        <v>51</v>
      </c>
      <c r="S11" s="15"/>
      <c r="T11" s="15" t="s">
        <v>108</v>
      </c>
      <c r="U11" s="15" t="s">
        <v>109</v>
      </c>
    </row>
    <row r="12" customFormat="false" ht="102" hidden="false" customHeight="true" outlineLevel="0" collapsed="false">
      <c r="A12" s="13" t="n">
        <v>11</v>
      </c>
      <c r="B12" s="13" t="n">
        <v>80</v>
      </c>
      <c r="C12" s="17" t="s">
        <v>54</v>
      </c>
      <c r="D12" s="15" t="s">
        <v>110</v>
      </c>
      <c r="E12" s="13" t="s">
        <v>65</v>
      </c>
      <c r="F12" s="15" t="s">
        <v>111</v>
      </c>
      <c r="G12" s="13" t="s">
        <v>57</v>
      </c>
      <c r="H12" s="13" t="n">
        <v>6</v>
      </c>
      <c r="I12" s="15" t="s">
        <v>112</v>
      </c>
      <c r="J12" s="15" t="s">
        <v>113</v>
      </c>
      <c r="K12" s="13" t="s">
        <v>68</v>
      </c>
      <c r="L12" s="16" t="n">
        <v>72.4</v>
      </c>
      <c r="M12" s="13" t="n">
        <v>72</v>
      </c>
      <c r="N12" s="13" t="n">
        <v>50</v>
      </c>
      <c r="O12" s="13" t="n">
        <v>72</v>
      </c>
      <c r="P12" s="13" t="n">
        <v>68</v>
      </c>
      <c r="Q12" s="16" t="n">
        <v>73.56</v>
      </c>
      <c r="R12" s="15" t="s">
        <v>51</v>
      </c>
      <c r="S12" s="15"/>
      <c r="T12" s="15" t="s">
        <v>114</v>
      </c>
      <c r="U12" s="15" t="s">
        <v>115</v>
      </c>
    </row>
    <row r="13" customFormat="false" ht="132" hidden="false" customHeight="true" outlineLevel="0" collapsed="false">
      <c r="A13" s="13" t="n">
        <v>12</v>
      </c>
      <c r="B13" s="13" t="n">
        <v>217</v>
      </c>
      <c r="C13" s="17" t="s">
        <v>54</v>
      </c>
      <c r="D13" s="15" t="s">
        <v>116</v>
      </c>
      <c r="E13" s="13" t="s">
        <v>65</v>
      </c>
      <c r="F13" s="15" t="s">
        <v>84</v>
      </c>
      <c r="G13" s="13" t="s">
        <v>57</v>
      </c>
      <c r="H13" s="13" t="n">
        <v>10</v>
      </c>
      <c r="I13" s="15" t="s">
        <v>117</v>
      </c>
      <c r="J13" s="15" t="s">
        <v>118</v>
      </c>
      <c r="K13" s="13" t="s">
        <v>75</v>
      </c>
      <c r="L13" s="16" t="n">
        <v>75</v>
      </c>
      <c r="M13" s="13" t="n">
        <v>75</v>
      </c>
      <c r="N13" s="13" t="n">
        <v>50</v>
      </c>
      <c r="O13" s="13" t="n">
        <v>62</v>
      </c>
      <c r="P13" s="13" t="n">
        <v>72</v>
      </c>
      <c r="Q13" s="16" t="n">
        <v>73.52</v>
      </c>
      <c r="R13" s="15" t="s">
        <v>51</v>
      </c>
      <c r="S13" s="15"/>
      <c r="T13" s="15" t="s">
        <v>119</v>
      </c>
      <c r="U13" s="15" t="s">
        <v>120</v>
      </c>
    </row>
    <row r="14" customFormat="false" ht="147" hidden="false" customHeight="true" outlineLevel="0" collapsed="false">
      <c r="A14" s="13" t="n">
        <v>13</v>
      </c>
      <c r="B14" s="13" t="n">
        <v>369</v>
      </c>
      <c r="C14" s="18" t="s">
        <v>63</v>
      </c>
      <c r="D14" s="15" t="s">
        <v>121</v>
      </c>
      <c r="E14" s="13" t="s">
        <v>45</v>
      </c>
      <c r="F14" s="15" t="s">
        <v>122</v>
      </c>
      <c r="G14" s="13" t="s">
        <v>47</v>
      </c>
      <c r="H14" s="13" t="n">
        <v>34</v>
      </c>
      <c r="I14" s="15" t="s">
        <v>123</v>
      </c>
      <c r="J14" s="15" t="s">
        <v>124</v>
      </c>
      <c r="K14" s="13" t="s">
        <v>50</v>
      </c>
      <c r="L14" s="16" t="n">
        <v>80.4</v>
      </c>
      <c r="M14" s="13" t="n">
        <v>82</v>
      </c>
      <c r="N14" s="13" t="n">
        <v>50</v>
      </c>
      <c r="O14" s="13" t="n">
        <v>88</v>
      </c>
      <c r="P14" s="13" t="n">
        <v>78</v>
      </c>
      <c r="Q14" s="16" t="n">
        <v>73.35</v>
      </c>
      <c r="R14" s="15" t="s">
        <v>51</v>
      </c>
      <c r="S14" s="15"/>
      <c r="T14" s="15" t="s">
        <v>125</v>
      </c>
      <c r="U14" s="15" t="s">
        <v>126</v>
      </c>
    </row>
    <row r="15" customFormat="false" ht="117" hidden="false" customHeight="true" outlineLevel="0" collapsed="false">
      <c r="A15" s="13" t="n">
        <v>14</v>
      </c>
      <c r="B15" s="13" t="n">
        <v>201</v>
      </c>
      <c r="C15" s="17" t="s">
        <v>54</v>
      </c>
      <c r="D15" s="15" t="s">
        <v>127</v>
      </c>
      <c r="E15" s="13" t="s">
        <v>65</v>
      </c>
      <c r="F15" s="15" t="s">
        <v>128</v>
      </c>
      <c r="G15" s="13" t="s">
        <v>57</v>
      </c>
      <c r="H15" s="13" t="n">
        <v>7</v>
      </c>
      <c r="I15" s="15" t="s">
        <v>129</v>
      </c>
      <c r="J15" s="15" t="s">
        <v>130</v>
      </c>
      <c r="K15" s="13" t="s">
        <v>75</v>
      </c>
      <c r="L15" s="16" t="n">
        <v>75</v>
      </c>
      <c r="M15" s="13" t="n">
        <v>75</v>
      </c>
      <c r="N15" s="13" t="n">
        <v>50</v>
      </c>
      <c r="O15" s="13" t="n">
        <v>72</v>
      </c>
      <c r="P15" s="13" t="n">
        <v>78</v>
      </c>
      <c r="Q15" s="16" t="n">
        <v>73.04</v>
      </c>
      <c r="R15" s="15" t="s">
        <v>51</v>
      </c>
      <c r="S15" s="15"/>
      <c r="T15" s="15" t="s">
        <v>131</v>
      </c>
      <c r="U15" s="15" t="s">
        <v>132</v>
      </c>
    </row>
    <row r="16" customFormat="false" ht="102" hidden="false" customHeight="true" outlineLevel="0" collapsed="false">
      <c r="A16" s="13" t="n">
        <v>15</v>
      </c>
      <c r="B16" s="13" t="n">
        <v>179</v>
      </c>
      <c r="C16" s="17" t="s">
        <v>54</v>
      </c>
      <c r="D16" s="15" t="s">
        <v>133</v>
      </c>
      <c r="E16" s="13" t="s">
        <v>65</v>
      </c>
      <c r="F16" s="15" t="s">
        <v>46</v>
      </c>
      <c r="G16" s="13" t="s">
        <v>57</v>
      </c>
      <c r="H16" s="13" t="n">
        <v>11</v>
      </c>
      <c r="I16" s="15" t="s">
        <v>134</v>
      </c>
      <c r="J16" s="15" t="s">
        <v>135</v>
      </c>
      <c r="K16" s="13" t="s">
        <v>75</v>
      </c>
      <c r="L16" s="16" t="n">
        <v>76.8</v>
      </c>
      <c r="M16" s="13" t="n">
        <v>78</v>
      </c>
      <c r="N16" s="13" t="n">
        <v>50</v>
      </c>
      <c r="O16" s="13" t="n">
        <v>72</v>
      </c>
      <c r="P16" s="13" t="n">
        <v>75</v>
      </c>
      <c r="Q16" s="16" t="n">
        <v>72.67</v>
      </c>
      <c r="R16" s="15" t="s">
        <v>51</v>
      </c>
      <c r="S16" s="15"/>
      <c r="T16" s="15" t="s">
        <v>136</v>
      </c>
      <c r="U16" s="15" t="s">
        <v>137</v>
      </c>
    </row>
    <row r="17" customFormat="false" ht="117" hidden="false" customHeight="true" outlineLevel="0" collapsed="false">
      <c r="A17" s="13" t="n">
        <v>16</v>
      </c>
      <c r="B17" s="13" t="n">
        <v>308</v>
      </c>
      <c r="C17" s="14" t="s">
        <v>43</v>
      </c>
      <c r="D17" s="15" t="s">
        <v>138</v>
      </c>
      <c r="E17" s="13" t="s">
        <v>65</v>
      </c>
      <c r="F17" s="15" t="s">
        <v>46</v>
      </c>
      <c r="G17" s="13" t="s">
        <v>47</v>
      </c>
      <c r="H17" s="13" t="n">
        <v>2</v>
      </c>
      <c r="I17" s="15" t="s">
        <v>139</v>
      </c>
      <c r="J17" s="15" t="s">
        <v>140</v>
      </c>
      <c r="K17" s="13" t="s">
        <v>60</v>
      </c>
      <c r="L17" s="16" t="n">
        <v>73.6</v>
      </c>
      <c r="M17" s="13" t="n">
        <v>72</v>
      </c>
      <c r="N17" s="13" t="n">
        <v>50</v>
      </c>
      <c r="O17" s="13" t="n">
        <v>28</v>
      </c>
      <c r="P17" s="13" t="n">
        <v>62</v>
      </c>
      <c r="Q17" s="16" t="n">
        <v>72.62</v>
      </c>
      <c r="R17" s="15" t="s">
        <v>51</v>
      </c>
      <c r="S17" s="15"/>
      <c r="T17" s="15" t="s">
        <v>141</v>
      </c>
      <c r="U17" s="15" t="s">
        <v>142</v>
      </c>
    </row>
    <row r="18" customFormat="false" ht="87" hidden="false" customHeight="true" outlineLevel="0" collapsed="false">
      <c r="A18" s="13" t="n">
        <v>17</v>
      </c>
      <c r="B18" s="13" t="n">
        <v>340</v>
      </c>
      <c r="C18" s="17" t="s">
        <v>54</v>
      </c>
      <c r="D18" s="15" t="s">
        <v>143</v>
      </c>
      <c r="E18" s="13" t="s">
        <v>45</v>
      </c>
      <c r="F18" s="15" t="s">
        <v>46</v>
      </c>
      <c r="G18" s="13" t="s">
        <v>57</v>
      </c>
      <c r="H18" s="13" t="n">
        <v>21</v>
      </c>
      <c r="I18" s="15" t="s">
        <v>144</v>
      </c>
      <c r="J18" s="15" t="s">
        <v>145</v>
      </c>
      <c r="K18" s="13" t="s">
        <v>50</v>
      </c>
      <c r="L18" s="16" t="n">
        <v>78.6</v>
      </c>
      <c r="M18" s="13" t="n">
        <v>81</v>
      </c>
      <c r="N18" s="13" t="n">
        <v>50</v>
      </c>
      <c r="O18" s="13" t="n">
        <v>45</v>
      </c>
      <c r="P18" s="13" t="n">
        <v>72</v>
      </c>
      <c r="Q18" s="16" t="n">
        <v>72.62</v>
      </c>
      <c r="R18" s="15" t="s">
        <v>51</v>
      </c>
      <c r="S18" s="15"/>
      <c r="T18" s="15" t="s">
        <v>146</v>
      </c>
      <c r="U18" s="15" t="s">
        <v>147</v>
      </c>
    </row>
    <row r="19" customFormat="false" ht="117" hidden="false" customHeight="true" outlineLevel="0" collapsed="false">
      <c r="A19" s="13" t="n">
        <v>18</v>
      </c>
      <c r="B19" s="13" t="n">
        <v>208</v>
      </c>
      <c r="C19" s="18" t="s">
        <v>63</v>
      </c>
      <c r="D19" s="15" t="s">
        <v>148</v>
      </c>
      <c r="E19" s="13" t="s">
        <v>65</v>
      </c>
      <c r="F19" s="15" t="s">
        <v>56</v>
      </c>
      <c r="G19" s="13" t="s">
        <v>47</v>
      </c>
      <c r="H19" s="13" t="n">
        <v>50</v>
      </c>
      <c r="I19" s="15" t="s">
        <v>149</v>
      </c>
      <c r="J19" s="15" t="s">
        <v>150</v>
      </c>
      <c r="K19" s="13" t="s">
        <v>75</v>
      </c>
      <c r="L19" s="16" t="n">
        <v>93</v>
      </c>
      <c r="M19" s="13" t="n">
        <v>95</v>
      </c>
      <c r="N19" s="13" t="n">
        <v>50</v>
      </c>
      <c r="O19" s="13" t="n">
        <v>88</v>
      </c>
      <c r="P19" s="13" t="n">
        <v>82</v>
      </c>
      <c r="Q19" s="16" t="n">
        <v>72.42</v>
      </c>
      <c r="R19" s="15" t="s">
        <v>51</v>
      </c>
      <c r="S19" s="15"/>
      <c r="T19" s="15" t="s">
        <v>151</v>
      </c>
      <c r="U19" s="15" t="s">
        <v>152</v>
      </c>
    </row>
    <row r="20" customFormat="false" ht="132" hidden="false" customHeight="true" outlineLevel="0" collapsed="false">
      <c r="A20" s="13" t="n">
        <v>19</v>
      </c>
      <c r="B20" s="13" t="n">
        <v>191</v>
      </c>
      <c r="C20" s="18" t="s">
        <v>63</v>
      </c>
      <c r="D20" s="15" t="s">
        <v>153</v>
      </c>
      <c r="E20" s="13" t="s">
        <v>45</v>
      </c>
      <c r="F20" s="15" t="s">
        <v>56</v>
      </c>
      <c r="G20" s="13" t="s">
        <v>57</v>
      </c>
      <c r="H20" s="13" t="n">
        <v>11</v>
      </c>
      <c r="I20" s="15" t="s">
        <v>154</v>
      </c>
      <c r="J20" s="15" t="s">
        <v>155</v>
      </c>
      <c r="K20" s="13" t="s">
        <v>75</v>
      </c>
      <c r="L20" s="16" t="n">
        <v>75.4</v>
      </c>
      <c r="M20" s="13" t="n">
        <v>78</v>
      </c>
      <c r="N20" s="13" t="n">
        <v>50</v>
      </c>
      <c r="O20" s="13" t="n">
        <v>82</v>
      </c>
      <c r="P20" s="13" t="n">
        <v>78</v>
      </c>
      <c r="Q20" s="16" t="n">
        <v>72.28</v>
      </c>
      <c r="R20" s="15" t="s">
        <v>51</v>
      </c>
      <c r="S20" s="15"/>
      <c r="T20" s="15" t="s">
        <v>156</v>
      </c>
      <c r="U20" s="15" t="s">
        <v>157</v>
      </c>
    </row>
    <row r="21" customFormat="false" ht="117" hidden="false" customHeight="true" outlineLevel="0" collapsed="false">
      <c r="A21" s="13" t="n">
        <v>20</v>
      </c>
      <c r="B21" s="13" t="n">
        <v>345</v>
      </c>
      <c r="C21" s="17" t="s">
        <v>54</v>
      </c>
      <c r="D21" s="15" t="s">
        <v>158</v>
      </c>
      <c r="E21" s="13" t="s">
        <v>45</v>
      </c>
      <c r="F21" s="15" t="s">
        <v>72</v>
      </c>
      <c r="G21" s="13" t="s">
        <v>57</v>
      </c>
      <c r="H21" s="13" t="n">
        <v>11</v>
      </c>
      <c r="I21" s="15" t="s">
        <v>159</v>
      </c>
      <c r="J21" s="15" t="s">
        <v>160</v>
      </c>
      <c r="K21" s="13" t="s">
        <v>50</v>
      </c>
      <c r="L21" s="16" t="n">
        <v>75.4</v>
      </c>
      <c r="M21" s="13" t="n">
        <v>78</v>
      </c>
      <c r="N21" s="13" t="n">
        <v>50</v>
      </c>
      <c r="O21" s="13" t="n">
        <v>72</v>
      </c>
      <c r="P21" s="13" t="n">
        <v>78</v>
      </c>
      <c r="Q21" s="16" t="n">
        <v>72.28</v>
      </c>
      <c r="R21" s="15" t="s">
        <v>51</v>
      </c>
      <c r="S21" s="15"/>
      <c r="T21" s="15" t="s">
        <v>161</v>
      </c>
      <c r="U21" s="15" t="s">
        <v>162</v>
      </c>
    </row>
  </sheetData>
  <autoFilter ref="A1:U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2026-07-07T13:40:06Z</dcterms:created>
  <dc:creator>openpyxl</dc:creator>
  <dc:description/>
  <dc:language>en-US</dc:language>
  <cp:lastModifiedBy/>
  <dcterms:modified xsi:type="dcterms:W3CDTF">2026-07-07T13:40:06Z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